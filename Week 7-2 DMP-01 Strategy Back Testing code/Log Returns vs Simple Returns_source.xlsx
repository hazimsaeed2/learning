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368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J6" i="1" s="1"/>
  <c r="I7" i="1"/>
  <c r="J7" i="1" s="1"/>
  <c r="I8" i="1"/>
  <c r="J8" i="1" s="1"/>
  <c r="I5" i="1"/>
  <c r="J5" i="1" s="1"/>
  <c r="K5" i="1" s="1"/>
  <c r="D6" i="1"/>
  <c r="D7" i="1"/>
  <c r="D8" i="1"/>
  <c r="D5" i="1"/>
  <c r="E5" i="1" s="1"/>
  <c r="K6" i="1" l="1"/>
  <c r="K7" i="1" s="1"/>
  <c r="K8" i="1" s="1"/>
  <c r="J11" i="1" s="1"/>
  <c r="J12" i="1" s="1"/>
  <c r="E6" i="1"/>
  <c r="E7" i="1" s="1"/>
  <c r="E8" i="1" s="1"/>
  <c r="E11" i="1" s="1"/>
  <c r="E12" i="1" s="1"/>
</calcChain>
</file>

<file path=xl/sharedStrings.xml><?xml version="1.0" encoding="utf-8"?>
<sst xmlns="http://schemas.openxmlformats.org/spreadsheetml/2006/main" count="14" uniqueCount="11">
  <si>
    <t>Close price</t>
  </si>
  <si>
    <t>Log returns</t>
  </si>
  <si>
    <t>Cumsum</t>
  </si>
  <si>
    <t>(1+r)</t>
  </si>
  <si>
    <t>Simple returns [r]</t>
  </si>
  <si>
    <t>Cumprod</t>
  </si>
  <si>
    <t>LOG RETURNS</t>
  </si>
  <si>
    <t>SIMPLE RETURNS</t>
  </si>
  <si>
    <t>Gross returns</t>
  </si>
  <si>
    <t>Net returns</t>
  </si>
  <si>
    <t>This is the log value that you saw in yesterday's lecture, which is way different from the value in 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</si>
</sst>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Fill="1" applyBorder="1"/>
    <xf numFmtId="0" fontId="0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12"/>
  <sheetViews>
    <sheetView tabSelected="1" workbookViewId="0">
      <selection activeCell="F8" sqref="F8"/>
    </sheetView>
  </sheetViews>
  <sheetFormatPr defaultRowHeight="14.4" x14ac:dyDescent="0.3"/>
  <cols>
    <col min="3" max="3" width="9.88671875" bestFit="1" customWidth="1"/>
    <col min="4" max="5" width="12.6640625" bestFit="1" customWidth="1"/>
    <col min="6" max="8" width="12.6640625" customWidth="1"/>
    <col min="9" max="9" width="15.109375" bestFit="1" customWidth="1"/>
    <col min="11" max="11" width="9.5546875" bestFit="1" customWidth="1"/>
  </cols>
  <sheetData>
    <row r="2" spans="3:11" x14ac:dyDescent="0.3">
      <c r="C2" s="5" t="s">
        <v>6</v>
      </c>
      <c r="D2" s="6"/>
      <c r="E2" s="7"/>
      <c r="H2" s="8" t="s">
        <v>7</v>
      </c>
      <c r="I2" s="8"/>
      <c r="J2" s="8"/>
      <c r="K2" s="8"/>
    </row>
    <row r="3" spans="3:11" x14ac:dyDescent="0.3">
      <c r="C3" s="2" t="s">
        <v>0</v>
      </c>
      <c r="D3" s="2" t="s">
        <v>1</v>
      </c>
      <c r="E3" s="2" t="s">
        <v>2</v>
      </c>
      <c r="H3" s="2" t="s">
        <v>0</v>
      </c>
      <c r="I3" s="2" t="s">
        <v>4</v>
      </c>
      <c r="J3" s="2" t="s">
        <v>3</v>
      </c>
      <c r="K3" s="3" t="s">
        <v>5</v>
      </c>
    </row>
    <row r="4" spans="3:11" x14ac:dyDescent="0.3">
      <c r="C4" s="2">
        <v>250</v>
      </c>
      <c r="D4" s="2"/>
      <c r="E4" s="2"/>
      <c r="H4" s="2">
        <v>250</v>
      </c>
      <c r="I4" s="2"/>
      <c r="J4" s="2"/>
      <c r="K4" s="2"/>
    </row>
    <row r="5" spans="3:11" x14ac:dyDescent="0.3">
      <c r="C5" s="2">
        <v>245</v>
      </c>
      <c r="D5" s="2">
        <f>LN(C5/C4)</f>
        <v>-2.0202707317519466E-2</v>
      </c>
      <c r="E5" s="2">
        <f>D5</f>
        <v>-2.0202707317519466E-2</v>
      </c>
      <c r="H5" s="2">
        <v>245</v>
      </c>
      <c r="I5" s="2">
        <f>(C5-C4)/C4</f>
        <v>-0.02</v>
      </c>
      <c r="J5" s="2">
        <f>1+I5</f>
        <v>0.98</v>
      </c>
      <c r="K5" s="2">
        <f>J5</f>
        <v>0.98</v>
      </c>
    </row>
    <row r="6" spans="3:11" x14ac:dyDescent="0.3">
      <c r="C6" s="2">
        <v>234</v>
      </c>
      <c r="D6" s="2">
        <f t="shared" ref="D6:D8" si="0">LN(C6/C5)</f>
        <v>-4.5937095187025538E-2</v>
      </c>
      <c r="E6" s="2">
        <f>E5+D6</f>
        <v>-6.6139802504545001E-2</v>
      </c>
      <c r="H6" s="2">
        <v>234</v>
      </c>
      <c r="I6" s="2">
        <f t="shared" ref="I6:I8" si="1">(C6-C5)/C5</f>
        <v>-4.4897959183673466E-2</v>
      </c>
      <c r="J6" s="2">
        <f t="shared" ref="J6:J8" si="2">1+I6</f>
        <v>0.95510204081632655</v>
      </c>
      <c r="K6" s="2">
        <f>K5*J6</f>
        <v>0.93600000000000005</v>
      </c>
    </row>
    <row r="7" spans="3:11" x14ac:dyDescent="0.3">
      <c r="C7" s="2">
        <v>237</v>
      </c>
      <c r="D7" s="2">
        <f t="shared" si="0"/>
        <v>1.2739025777429712E-2</v>
      </c>
      <c r="E7" s="2">
        <f t="shared" ref="E7" si="3">E6+D7</f>
        <v>-5.3400776727115289E-2</v>
      </c>
      <c r="H7" s="2">
        <v>237</v>
      </c>
      <c r="I7" s="2">
        <f t="shared" si="1"/>
        <v>1.282051282051282E-2</v>
      </c>
      <c r="J7" s="2">
        <f t="shared" si="2"/>
        <v>1.0128205128205128</v>
      </c>
      <c r="K7" s="2">
        <f>K6*J7</f>
        <v>0.94800000000000006</v>
      </c>
    </row>
    <row r="8" spans="3:11" x14ac:dyDescent="0.3">
      <c r="C8" s="2">
        <v>240</v>
      </c>
      <c r="D8" s="2">
        <f t="shared" si="0"/>
        <v>1.2578782206860185E-2</v>
      </c>
      <c r="E8" s="2">
        <f>E7+D8</f>
        <v>-4.0821994520255103E-2</v>
      </c>
      <c r="F8" t="s">
        <v>10</v>
      </c>
      <c r="H8" s="2">
        <v>240</v>
      </c>
      <c r="I8" s="2">
        <f t="shared" si="1"/>
        <v>1.2658227848101266E-2</v>
      </c>
      <c r="J8" s="2">
        <f t="shared" si="2"/>
        <v>1.0126582278481013</v>
      </c>
      <c r="K8" s="2">
        <f>K7*J8</f>
        <v>0.96000000000000008</v>
      </c>
    </row>
    <row r="9" spans="3:11" x14ac:dyDescent="0.3">
      <c r="C9" s="9"/>
      <c r="D9" s="9"/>
      <c r="E9" s="9"/>
      <c r="H9" s="9"/>
      <c r="I9" s="9"/>
      <c r="J9" s="9"/>
      <c r="K9" s="9"/>
    </row>
    <row r="11" spans="3:11" x14ac:dyDescent="0.3">
      <c r="D11" t="s">
        <v>8</v>
      </c>
      <c r="E11" s="1">
        <f>EXP(E8)</f>
        <v>0.96000000000000008</v>
      </c>
      <c r="F11" s="1"/>
      <c r="G11" s="1"/>
      <c r="H11" s="1"/>
      <c r="I11" s="4" t="s">
        <v>8</v>
      </c>
      <c r="J11" s="1">
        <f>K8</f>
        <v>0.96000000000000008</v>
      </c>
    </row>
    <row r="12" spans="3:11" x14ac:dyDescent="0.3">
      <c r="D12" t="s">
        <v>9</v>
      </c>
      <c r="E12">
        <f>E11-1</f>
        <v>-3.9999999999999925E-2</v>
      </c>
      <c r="I12" t="s">
        <v>9</v>
      </c>
      <c r="J12">
        <f>J11-1</f>
        <v>-3.9999999999999925E-2</v>
      </c>
    </row>
  </sheetData>
  <mergeCells count="2">
    <mergeCell ref="C2:E2"/>
    <mergeCell ref="H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2025-03-06T05:18:11Z</dcterms:modified>
</cp:coreProperties>
</file>