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ssellresearch-my.sharepoint.com/personal/robert_kissell_kissellresearch_com/Documents/Kissell Research/Clients/AAA_Current/Quantinsti/"/>
    </mc:Choice>
  </mc:AlternateContent>
  <xr:revisionPtr revIDLastSave="11" documentId="8_{BAB933FC-9C17-45BC-9EB2-A7C1BD29AF09}" xr6:coauthVersionLast="47" xr6:coauthVersionMax="47" xr10:uidLastSave="{926B5AAA-F1B5-4DD7-8614-79B8DE0E7030}"/>
  <bookViews>
    <workbookView xWindow="96" yWindow="480" windowWidth="29328" windowHeight="14640" xr2:uid="{75B2D904-BD3E-4E8F-81E2-55FBD4A48219}"/>
  </bookViews>
  <sheets>
    <sheet name="Sheet1" sheetId="1" r:id="rId1"/>
  </sheets>
  <definedNames>
    <definedName name="solver_adj" localSheetId="0" hidden="1">Sheet1!$X$16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Sheet1!$X$20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1" l="1"/>
  <c r="X18" i="1"/>
  <c r="AA15" i="1"/>
  <c r="U15" i="1"/>
  <c r="U19" i="1" s="1"/>
  <c r="R16" i="1"/>
  <c r="R18" i="1" s="1"/>
  <c r="R21" i="1" s="1"/>
  <c r="O17" i="1"/>
  <c r="O16" i="1"/>
  <c r="X20" i="1" l="1"/>
  <c r="U21" i="1"/>
  <c r="U20" i="1"/>
  <c r="R20" i="1"/>
</calcChain>
</file>

<file path=xl/sharedStrings.xml><?xml version="1.0" encoding="utf-8"?>
<sst xmlns="http://schemas.openxmlformats.org/spreadsheetml/2006/main" count="45" uniqueCount="25">
  <si>
    <t>Value</t>
  </si>
  <si>
    <t>a1</t>
  </si>
  <si>
    <t>a2</t>
  </si>
  <si>
    <t>a3</t>
  </si>
  <si>
    <t>a4</t>
  </si>
  <si>
    <t>b1</t>
  </si>
  <si>
    <t>Q1)</t>
  </si>
  <si>
    <t>Size=</t>
  </si>
  <si>
    <t>POV=</t>
  </si>
  <si>
    <t>Volatility=</t>
  </si>
  <si>
    <t>MI=</t>
  </si>
  <si>
    <t>TR=</t>
  </si>
  <si>
    <t>Shares=</t>
  </si>
  <si>
    <t>ADV=</t>
  </si>
  <si>
    <t>Time=</t>
  </si>
  <si>
    <t>Q2)</t>
  </si>
  <si>
    <t>Q3)</t>
  </si>
  <si>
    <t>Q5)</t>
  </si>
  <si>
    <t>Volume=</t>
  </si>
  <si>
    <t>Q4)</t>
  </si>
  <si>
    <t>Lambda=</t>
  </si>
  <si>
    <t>Loss=</t>
  </si>
  <si>
    <t>* Use Solver or Python</t>
  </si>
  <si>
    <t>Parameter</t>
  </si>
  <si>
    <t>MI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</si>
</sst>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Alignment="1">
      <alignment horizontal="left"/>
    </xf>
    <xf numFmtId="2" fontId="0" fillId="0" borderId="0" xfId="0" applyNumberFormat="1"/>
    <xf numFmtId="3" fontId="0" fillId="0" borderId="0" xfId="0" applyNumberFormat="1"/>
    <xf numFmtId="0" fontId="0" fillId="2" borderId="0" xfId="0" applyFill="1"/>
    <xf numFmtId="10" fontId="0" fillId="2" borderId="0" xfId="1" applyNumberFormat="1" applyFont="1" applyFill="1"/>
    <xf numFmtId="9" fontId="0" fillId="0" borderId="0" xfId="1" applyNumberFormat="1" applyFont="1"/>
    <xf numFmtId="2" fontId="0" fillId="2" borderId="0" xfId="0" applyNumberFormat="1" applyFill="1"/>
    <xf numFmtId="0" fontId="2" fillId="0" borderId="0" xfId="0" applyFont="1"/>
    <xf numFmtId="0" fontId="0" fillId="3" borderId="0" xfId="0" applyFill="1"/>
    <xf numFmtId="10" fontId="0" fillId="3" borderId="0" xfId="1" applyNumberFormat="1" applyFont="1" applyFill="1"/>
    <xf numFmtId="3" fontId="0" fillId="2" borderId="0" xfId="0" applyNumberFormat="1" applyFill="1"/>
    <xf numFmtId="2" fontId="0" fillId="3" borderId="0" xfId="0" applyNumberFormat="1" applyFill="1"/>
    <xf numFmtId="0" fontId="2" fillId="0" borderId="0" xfId="0" quotePrefix="1" applyFont="1" applyAlignment="1">
      <alignment horizontal="left"/>
    </xf>
    <xf numFmtId="0" fontId="0" fillId="0" borderId="1" xfId="0" applyBorder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45721</xdr:colOff>
      <xdr:row>21</xdr:row>
      <xdr:rowOff>74317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3F9A9-3A25-0B89-2E2F-F631B8BC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7360920" cy="3914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E2F8-3B60-436F-A6F4-0008BF046EC0}">
  <dimension ref="N2:AA22"/>
  <sheetViews>
    <sheetView tabSelected="1" workbookViewId="0">
      <selection activeCell="I25" sqref="I25"/>
    </sheetView>
  </sheetViews>
  <sheetFormatPr defaultRowHeight="14.4" x14ac:dyDescent="0.3"/>
  <cols>
    <col min="14" max="14" width="10" customWidth="1"/>
  </cols>
  <sheetData>
    <row r="2" spans="14:27" x14ac:dyDescent="0.3">
      <c r="N2" s="14" t="s">
        <v>24</v>
      </c>
      <c r="O2" s="14"/>
    </row>
    <row r="3" spans="14:27" x14ac:dyDescent="0.3">
      <c r="N3" s="15" t="s">
        <v>23</v>
      </c>
      <c r="O3" s="16" t="s">
        <v>0</v>
      </c>
    </row>
    <row r="4" spans="14:27" x14ac:dyDescent="0.3">
      <c r="N4" t="s">
        <v>1</v>
      </c>
      <c r="O4">
        <v>883.25</v>
      </c>
    </row>
    <row r="5" spans="14:27" x14ac:dyDescent="0.3">
      <c r="N5" t="s">
        <v>2</v>
      </c>
      <c r="O5">
        <v>0.35</v>
      </c>
    </row>
    <row r="6" spans="14:27" x14ac:dyDescent="0.3">
      <c r="N6" t="s">
        <v>3</v>
      </c>
      <c r="O6">
        <v>0.76</v>
      </c>
    </row>
    <row r="7" spans="14:27" x14ac:dyDescent="0.3">
      <c r="N7" t="s">
        <v>4</v>
      </c>
      <c r="O7">
        <v>0.83</v>
      </c>
    </row>
    <row r="8" spans="14:27" x14ac:dyDescent="0.3">
      <c r="N8" t="s">
        <v>5</v>
      </c>
      <c r="O8">
        <v>0.96</v>
      </c>
    </row>
    <row r="11" spans="14:27" x14ac:dyDescent="0.3">
      <c r="N11" s="8" t="s">
        <v>6</v>
      </c>
      <c r="Q11" s="13" t="s">
        <v>15</v>
      </c>
      <c r="T11" s="13" t="s">
        <v>16</v>
      </c>
      <c r="W11" s="13" t="s">
        <v>19</v>
      </c>
      <c r="Z11" s="13" t="s">
        <v>17</v>
      </c>
    </row>
    <row r="12" spans="14:27" x14ac:dyDescent="0.3">
      <c r="N12" t="s">
        <v>7</v>
      </c>
      <c r="O12">
        <v>0.15</v>
      </c>
      <c r="Q12" t="s">
        <v>12</v>
      </c>
      <c r="R12" s="3">
        <v>75000</v>
      </c>
      <c r="T12" t="s">
        <v>12</v>
      </c>
      <c r="U12" s="3">
        <v>100000</v>
      </c>
      <c r="W12" t="s">
        <v>7</v>
      </c>
      <c r="X12">
        <v>0.15</v>
      </c>
      <c r="Z12" s="1" t="s">
        <v>18</v>
      </c>
      <c r="AA12" s="3">
        <v>50000</v>
      </c>
    </row>
    <row r="13" spans="14:27" x14ac:dyDescent="0.3">
      <c r="N13" s="1" t="s">
        <v>9</v>
      </c>
      <c r="O13">
        <v>0.25</v>
      </c>
      <c r="Q13" t="s">
        <v>13</v>
      </c>
      <c r="R13" s="3">
        <v>500000</v>
      </c>
      <c r="T13" t="s">
        <v>13</v>
      </c>
      <c r="U13" s="3">
        <v>1000000</v>
      </c>
      <c r="W13" s="1" t="s">
        <v>9</v>
      </c>
      <c r="X13">
        <v>0.25</v>
      </c>
      <c r="Z13" t="s">
        <v>8</v>
      </c>
      <c r="AA13" s="2">
        <v>0.2</v>
      </c>
    </row>
    <row r="14" spans="14:27" x14ac:dyDescent="0.3">
      <c r="N14" t="s">
        <v>8</v>
      </c>
      <c r="O14" s="6">
        <v>0.2</v>
      </c>
      <c r="Q14" t="s">
        <v>14</v>
      </c>
      <c r="R14">
        <v>1</v>
      </c>
    </row>
    <row r="15" spans="14:27" x14ac:dyDescent="0.3">
      <c r="T15" t="s">
        <v>7</v>
      </c>
      <c r="U15" s="2">
        <f>U12/U13</f>
        <v>0.1</v>
      </c>
      <c r="W15" t="s">
        <v>20</v>
      </c>
      <c r="X15">
        <v>0.35</v>
      </c>
      <c r="Z15" s="4" t="s">
        <v>12</v>
      </c>
      <c r="AA15" s="11">
        <f>AA13/(1-AA13)*AA12</f>
        <v>12500</v>
      </c>
    </row>
    <row r="16" spans="14:27" x14ac:dyDescent="0.3">
      <c r="N16" s="4" t="s">
        <v>10</v>
      </c>
      <c r="O16" s="7">
        <f>$O$4*O12^$O$5*O13^$O$6*($O$8*O14^$O$7+(1-$O$8))</f>
        <v>46.361674061124546</v>
      </c>
      <c r="Q16" t="s">
        <v>7</v>
      </c>
      <c r="R16">
        <f>R12/R13</f>
        <v>0.15</v>
      </c>
      <c r="T16" s="1" t="s">
        <v>9</v>
      </c>
      <c r="U16" s="2">
        <v>0.2</v>
      </c>
      <c r="W16" t="s">
        <v>8</v>
      </c>
      <c r="X16" s="5">
        <v>0.10807009784224914</v>
      </c>
    </row>
    <row r="17" spans="14:24" x14ac:dyDescent="0.3">
      <c r="N17" s="4" t="s">
        <v>11</v>
      </c>
      <c r="O17" s="7">
        <f>O13*SQRT(1/250*1/3*O12*(1-O14)/O14)*10000</f>
        <v>70.710678118654755</v>
      </c>
      <c r="Q17" s="1" t="s">
        <v>9</v>
      </c>
      <c r="R17">
        <v>0.25</v>
      </c>
      <c r="T17" t="s">
        <v>8</v>
      </c>
      <c r="U17" s="2">
        <v>0.15</v>
      </c>
    </row>
    <row r="18" spans="14:24" x14ac:dyDescent="0.3">
      <c r="Q18" s="9" t="s">
        <v>8</v>
      </c>
      <c r="R18" s="10">
        <f>R16/(R14+R16)</f>
        <v>0.13043478260869565</v>
      </c>
      <c r="W18" s="9" t="s">
        <v>10</v>
      </c>
      <c r="X18" s="12">
        <f>$O$4*X12^$O$5*X13^$O$6*($O$8*X16^$O$7+(1-$O$8))</f>
        <v>30.352020757214891</v>
      </c>
    </row>
    <row r="19" spans="14:24" x14ac:dyDescent="0.3">
      <c r="T19" s="4" t="s">
        <v>14</v>
      </c>
      <c r="U19" s="7">
        <f>U15*(1-U17)/U17</f>
        <v>0.56666666666666676</v>
      </c>
      <c r="W19" s="9" t="s">
        <v>11</v>
      </c>
      <c r="X19" s="12">
        <f>X13*SQRT(1/250*1/3*X12*(1-X16)/X16)*10000</f>
        <v>101.57050136020442</v>
      </c>
    </row>
    <row r="20" spans="14:24" x14ac:dyDescent="0.3">
      <c r="Q20" s="4" t="s">
        <v>10</v>
      </c>
      <c r="R20" s="7">
        <f>$O$4*R16^$O$5*R17^$O$6*($O$8*R18^$O$7+(1-$O$8))</f>
        <v>34.408877005448879</v>
      </c>
      <c r="T20" s="4" t="s">
        <v>10</v>
      </c>
      <c r="U20" s="7">
        <f>$O$4*U15^$O$5*U16^$O$6*($O$8*U17^$O$7+(1-$O$8))</f>
        <v>27.727428117605537</v>
      </c>
      <c r="W20" s="9" t="s">
        <v>21</v>
      </c>
      <c r="X20" s="9">
        <f>+X18+X15*X19</f>
        <v>65.90169623328643</v>
      </c>
    </row>
    <row r="21" spans="14:24" x14ac:dyDescent="0.3">
      <c r="Q21" s="4" t="s">
        <v>11</v>
      </c>
      <c r="R21" s="7">
        <f>R17*SQRT(1/250*1/3*R16*(1-R18)/R18)*10000</f>
        <v>91.287092917527687</v>
      </c>
      <c r="T21" s="4" t="s">
        <v>11</v>
      </c>
      <c r="U21" s="7">
        <f>U16*SQRT(1/250*1/3*U15*(1-U17)/U17)*10000</f>
        <v>54.974741674902148</v>
      </c>
    </row>
    <row r="22" spans="14:24" x14ac:dyDescent="0.3">
      <c r="W22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Kissell</dc:creator>
  <cp:lastModifiedBy>Rob Kissell</cp:lastModifiedBy>
  <dcterms:created xsi:type="dcterms:W3CDTF">2023-06-23T20:47:48Z</dcterms:created>
  <dcterms:modified xsi:type="dcterms:W3CDTF">2023-06-23T21:04:17Z</dcterms:modified>
</cp:coreProperties>
</file>